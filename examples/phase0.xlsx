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>
    <definedName name="LEMMA.CAGR" comment="cagr@0.1.0 sha256:8cc95aaee97a25818aab2294a3b5737408d7d642b461c9cbb0f3221f049a100a">_xlfn.LAMBDA(_xlpm.start_value, _xlpm.end_value, _xlpm.years,
  IF(NOT(AND(ISNUMBER(_xlpm.start_value), ISNUMBER(_xlpm.end_value), ISNUMBER(_xlpm.years))), #VALUE!,
  IF(OR(_xlpm.start_value &lt;= 0, _xlpm.end_value &lt; 0, _xlpm.years &lt;= 0), #NUM!,
  (_xlpm.end_value / _xlpm.start_value) ^ (1 / _xlpm.years) - 1)))</definedName>
    <definedName name="LEMMA.LOAN_PAYMENT" comment="loan_payment@0.1.0 sha256:4bfe72dc102fce277814f695325b282fe6b01423a3c09f2edae22f64fde891aa">_xlfn.LAMBDA(_xlpm.principal, _xlpm.rate, _xlpm.periods,
  IF(NOT(AND(ISNUMBER(_xlpm.principal), ISNUMBER(_xlpm.rate), ISNUMBER(_xlpm.periods))), #VALUE!,
  IF(OR(_xlpm.principal &lt; 0, _xlpm.rate &lt; 0, _xlpm.periods &lt;= 0, _xlpm.periods &lt;&gt; INT(_xlpm.periods)), #NUM!,
  IF(_xlpm.rate = 0, _xlpm.principal / _xlpm.periods,
  _xlpm.principal * _xlpm.rate / (1 - (1 + _xlpm.rate) ^ (-_xlpm.periods))))))</definedName>
    <definedName name="LEMMA.NPV" comment="npv@0.1.0 sha256:25f1aa18c949a8b22c29371a24c27577a0df9d85e3174c9ea3a8809f6ad58838">_xlfn.LAMBDA(_xlpm.rate, _xlpm.cashflows, _xlpm.first_period,
  IF(NOT(AND(ISNUMBER(_xlpm.rate), ISNUMBER(_xlpm.first_period))), #VALUE!,
  IF(OR(_xlpm.rate &lt;= -1, _xlpm.first_period &lt; 0, _xlpm.first_period &lt;&gt; INT(_xlpm.first_period)), #NUM!,
  _xlfn.LET(_xlpm.r, ROWS(_xlpm.cashflows), _xlpm.c, COLUMNS(_xlpm.cashflows),
    IF(AND(_xlpm.r &gt; 1, _xlpm.c &gt; 1), #VALUE!,
    IF(COUNT(_xlpm.cashflows) &lt;&gt; _xlpm.r * _xlpm.c, #VALUE!,
    SUMPRODUCT(_xlpm.cashflows / (1 + _xlpm.rate) ^ (_xlpm.first_period + _xlfn.SEQUENCE(_xlpm.r, _xlpm.c) - 1))))))))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t="inlineStr">
        <is>
          <t>Module</t>
        </is>
      </c>
      <c r="B1" t="inlineStr">
        <is>
          <t>Result</t>
        </is>
      </c>
      <c r="C1" t="inlineStr">
        <is>
          <t>Inputs</t>
        </is>
      </c>
    </row>
    <row r="2">
      <c r="A2" t="inlineStr">
        <is>
          <t>LEMMA.CAGR(100, 200, 10)</t>
        </is>
      </c>
      <c r="B2">
        <f>LEMMA.CAGR(E2, F2, G2)</f>
        <v/>
      </c>
      <c r="E2" t="n">
        <v>100</v>
      </c>
      <c r="F2" t="n">
        <v>200</v>
      </c>
      <c r="G2" t="n">
        <v>10</v>
      </c>
    </row>
    <row r="3">
      <c r="A3" t="inlineStr">
        <is>
          <t>LEMMA.LOAN_PAYMENT(200000, 5%/12, 360)</t>
        </is>
      </c>
      <c r="B3">
        <f>LEMMA.LOAN_PAYMENT(E3, F3/12, G3)</f>
        <v/>
      </c>
      <c r="E3" t="n">
        <v>200000</v>
      </c>
      <c r="F3" t="n">
        <v>0.05</v>
      </c>
      <c r="G3" t="n">
        <v>360</v>
      </c>
    </row>
    <row r="4">
      <c r="A4" t="inlineStr">
        <is>
          <t>LEMMA.NPV(8%, E4:E9, first_period 0)</t>
        </is>
      </c>
      <c r="B4">
        <f>LEMMA.NPV(F4, E4:E9, G4)</f>
        <v/>
      </c>
      <c r="E4" t="n">
        <v>-40000</v>
      </c>
      <c r="F4" t="n">
        <v>0.08</v>
      </c>
      <c r="G4" t="n">
        <v>0</v>
      </c>
    </row>
    <row r="5">
      <c r="E5" t="n">
        <v>8000</v>
      </c>
    </row>
    <row r="6">
      <c r="E6" t="n">
        <v>9200</v>
      </c>
    </row>
    <row r="7">
      <c r="E7" t="n">
        <v>10000</v>
      </c>
    </row>
    <row r="8">
      <c r="E8" t="n">
        <v>12000</v>
      </c>
    </row>
    <row r="9">
      <c r="E9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2026-10-08T19:10:23Z</dcterms:created>
  <dcterms:modified xsi:type="dcterms:W3CDTF">2026-10-08T19:10:23Z</dcterms:modified>
</cp:coreProperties>
</file>